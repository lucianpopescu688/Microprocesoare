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BA65AD4B-C79D-439A-B9B1-F28F7FF486AE}" xr6:coauthVersionLast="47" xr6:coauthVersionMax="47" xr10:uidLastSave="{00000000-0000-0000-0000-000000000000}"/>
  <bookViews>
    <workbookView xWindow="4056" yWindow="0" windowWidth="23880" windowHeight="15084" xr2:uid="{00000000-000D-0000-FFFF-FFFF00000000}"/>
  </bookViews>
  <sheets>
    <sheet name="Audio" sheetId="1" r:id="rId1"/>
  </sheets>
  <calcPr calcId="191029"/>
</workbook>
</file>

<file path=xl/calcChain.xml><?xml version="1.0" encoding="utf-8"?>
<calcChain xmlns="http://schemas.openxmlformats.org/spreadsheetml/2006/main">
  <c r="E29" i="1" l="1"/>
  <c r="E30" i="1"/>
  <c r="E31" i="1"/>
  <c r="E32" i="1"/>
  <c r="E33" i="1"/>
  <c r="E34" i="1"/>
  <c r="E28" i="1"/>
  <c r="E18" i="1"/>
  <c r="E19" i="1"/>
  <c r="E20" i="1"/>
  <c r="E21" i="1"/>
  <c r="E22" i="1"/>
  <c r="E23" i="1"/>
  <c r="E17" i="1"/>
  <c r="C17" i="1"/>
  <c r="C18" i="1"/>
  <c r="C19" i="1"/>
  <c r="C20" i="1"/>
  <c r="C21" i="1"/>
  <c r="C22" i="1"/>
  <c r="D22" i="1" s="1"/>
  <c r="C23" i="1"/>
  <c r="D23" i="1" s="1"/>
  <c r="D18" i="1"/>
  <c r="D19" i="1"/>
  <c r="D20" i="1"/>
  <c r="D21" i="1"/>
  <c r="C28" i="1"/>
  <c r="D28" i="1" s="1"/>
  <c r="C29" i="1"/>
  <c r="C30" i="1"/>
  <c r="C31" i="1"/>
  <c r="C32" i="1"/>
  <c r="D32" i="1" s="1"/>
  <c r="C33" i="1"/>
  <c r="D33" i="1" s="1"/>
  <c r="C34" i="1"/>
  <c r="D34" i="1" s="1"/>
  <c r="D29" i="1"/>
  <c r="D30" i="1"/>
  <c r="D31" i="1"/>
  <c r="C6" i="1" l="1"/>
  <c r="D6" i="1" s="1"/>
  <c r="C7" i="1"/>
  <c r="D7" i="1" s="1"/>
  <c r="C8" i="1"/>
  <c r="D8" i="1" s="1"/>
  <c r="C9" i="1"/>
  <c r="D9" i="1" s="1"/>
  <c r="C10" i="1"/>
  <c r="D10" i="1" s="1"/>
  <c r="C11" i="1"/>
  <c r="D11" i="1" s="1"/>
  <c r="C5" i="1"/>
  <c r="D5" i="1" s="1"/>
  <c r="E9" i="1" l="1"/>
  <c r="F9" i="1" s="1"/>
  <c r="G9" i="1" s="1"/>
  <c r="H9" i="1" s="1"/>
  <c r="F32" i="1"/>
  <c r="E8" i="1"/>
  <c r="F8" i="1" s="1"/>
  <c r="G8" i="1" s="1"/>
  <c r="H8" i="1" s="1"/>
  <c r="E10" i="1"/>
  <c r="F10" i="1" s="1"/>
  <c r="G10" i="1" s="1"/>
  <c r="H10" i="1" s="1"/>
  <c r="E7" i="1"/>
  <c r="F7" i="1" s="1"/>
  <c r="G7" i="1" s="1"/>
  <c r="H7" i="1" s="1"/>
  <c r="E6" i="1"/>
  <c r="F6" i="1" s="1"/>
  <c r="G6" i="1" s="1"/>
  <c r="H6" i="1" s="1"/>
  <c r="F18" i="1"/>
  <c r="E5" i="1"/>
  <c r="F5" i="1" s="1"/>
  <c r="G5" i="1" s="1"/>
  <c r="H5" i="1" s="1"/>
  <c r="D17" i="1"/>
  <c r="F23" i="1"/>
  <c r="E11" i="1"/>
  <c r="F11" i="1" s="1"/>
  <c r="G11" i="1" s="1"/>
  <c r="H11" i="1" s="1"/>
  <c r="F28" i="1"/>
  <c r="F33" i="1"/>
  <c r="F30" i="1"/>
  <c r="F34" i="1"/>
  <c r="F17" i="1" l="1"/>
  <c r="F31" i="1"/>
  <c r="F21" i="1"/>
  <c r="F19" i="1"/>
  <c r="F22" i="1"/>
  <c r="F29" i="1"/>
  <c r="F20" i="1"/>
</calcChain>
</file>

<file path=xl/sharedStrings.xml><?xml version="1.0" encoding="utf-8"?>
<sst xmlns="http://schemas.openxmlformats.org/spreadsheetml/2006/main" count="43" uniqueCount="36">
  <si>
    <t>Note</t>
  </si>
  <si>
    <t>x2</t>
  </si>
  <si>
    <t>x4</t>
  </si>
  <si>
    <t>x8</t>
  </si>
  <si>
    <t>x16</t>
  </si>
  <si>
    <t>A(La)</t>
  </si>
  <si>
    <t>B(Si)</t>
  </si>
  <si>
    <t>C(Do)</t>
  </si>
  <si>
    <t>D(Re)</t>
  </si>
  <si>
    <t>E(Mi)</t>
  </si>
  <si>
    <t>F(Fa)</t>
  </si>
  <si>
    <t>G(Sol)</t>
  </si>
  <si>
    <t>x32</t>
  </si>
  <si>
    <t>x64</t>
  </si>
  <si>
    <t>HZ</t>
  </si>
  <si>
    <t>Fout</t>
  </si>
  <si>
    <t>A4</t>
  </si>
  <si>
    <t>B4</t>
  </si>
  <si>
    <t>C4</t>
  </si>
  <si>
    <t>D4</t>
  </si>
  <si>
    <t>E4</t>
  </si>
  <si>
    <t>F4</t>
  </si>
  <si>
    <t>G4</t>
  </si>
  <si>
    <t>Error</t>
  </si>
  <si>
    <t>A8</t>
  </si>
  <si>
    <t>B8</t>
  </si>
  <si>
    <t>C8</t>
  </si>
  <si>
    <t>D8</t>
  </si>
  <si>
    <t>E8</t>
  </si>
  <si>
    <t>F8</t>
  </si>
  <si>
    <t>G8</t>
  </si>
  <si>
    <t>0=OFF</t>
  </si>
  <si>
    <t>base</t>
  </si>
  <si>
    <t>PSC</t>
  </si>
  <si>
    <t>ARR</t>
  </si>
  <si>
    <t>ARR_I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</si>
</sst>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4"/>
      <color rgb="FFFF0000"/>
      <name val="Calibri"/>
      <family val="2"/>
      <charset val="238"/>
      <scheme val="minor"/>
    </font>
    <font>
      <sz val="14"/>
      <color rgb="FF7030A0"/>
      <name val="Calibri"/>
      <family val="2"/>
      <charset val="238"/>
      <scheme val="minor"/>
    </font>
    <font>
      <sz val="14"/>
      <color theme="5" tint="-0.249977111117893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2" fontId="1" fillId="7" borderId="6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2" fontId="1" fillId="7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tabSelected="1" topLeftCell="A7" workbookViewId="0">
      <selection activeCell="D28" sqref="D28"/>
    </sheetView>
  </sheetViews>
  <sheetFormatPr defaultRowHeight="14.4" x14ac:dyDescent="0.3"/>
  <cols>
    <col min="1" max="1" width="12.33203125" customWidth="1"/>
    <col min="2" max="2" width="14.5546875" customWidth="1"/>
    <col min="3" max="3" width="17.88671875" customWidth="1"/>
    <col min="4" max="8" width="14.6640625" customWidth="1"/>
  </cols>
  <sheetData>
    <row r="2" spans="1:8" ht="15" thickBot="1" x14ac:dyDescent="0.35"/>
    <row r="3" spans="1:8" ht="21.6" thickBot="1" x14ac:dyDescent="0.35">
      <c r="B3" s="44" t="s">
        <v>14</v>
      </c>
      <c r="C3" s="45"/>
      <c r="D3" s="45"/>
      <c r="E3" s="45"/>
      <c r="F3" s="45"/>
      <c r="G3" s="45"/>
      <c r="H3" s="46"/>
    </row>
    <row r="4" spans="1:8" ht="18.600000000000001" thickBot="1" x14ac:dyDescent="0.35">
      <c r="A4" s="26" t="s">
        <v>0</v>
      </c>
      <c r="B4" s="27" t="s">
        <v>32</v>
      </c>
      <c r="C4" s="29" t="s">
        <v>1</v>
      </c>
      <c r="D4" s="30" t="s">
        <v>2</v>
      </c>
      <c r="E4" s="48" t="s">
        <v>3</v>
      </c>
      <c r="F4" s="28" t="s">
        <v>4</v>
      </c>
      <c r="G4" s="28" t="s">
        <v>12</v>
      </c>
      <c r="H4" s="31" t="s">
        <v>13</v>
      </c>
    </row>
    <row r="5" spans="1:8" ht="18" x14ac:dyDescent="0.3">
      <c r="A5" s="23" t="s">
        <v>5</v>
      </c>
      <c r="B5" s="10">
        <v>220</v>
      </c>
      <c r="C5" s="20">
        <f t="shared" ref="C5:H5" si="0">B5*2</f>
        <v>440</v>
      </c>
      <c r="D5" s="17">
        <f t="shared" si="0"/>
        <v>880</v>
      </c>
      <c r="E5" s="49">
        <f t="shared" si="0"/>
        <v>1760</v>
      </c>
      <c r="F5" s="6">
        <f t="shared" si="0"/>
        <v>3520</v>
      </c>
      <c r="G5" s="6">
        <f t="shared" si="0"/>
        <v>7040</v>
      </c>
      <c r="H5" s="7">
        <f t="shared" si="0"/>
        <v>14080</v>
      </c>
    </row>
    <row r="6" spans="1:8" ht="18" x14ac:dyDescent="0.3">
      <c r="A6" s="24" t="s">
        <v>6</v>
      </c>
      <c r="B6" s="11">
        <v>246.94</v>
      </c>
      <c r="C6" s="21">
        <f t="shared" ref="C6:H11" si="1">B6*2</f>
        <v>493.88</v>
      </c>
      <c r="D6" s="18">
        <f t="shared" si="1"/>
        <v>987.76</v>
      </c>
      <c r="E6" s="50">
        <f t="shared" si="1"/>
        <v>1975.52</v>
      </c>
      <c r="F6" s="2">
        <f t="shared" si="1"/>
        <v>3951.04</v>
      </c>
      <c r="G6" s="2">
        <f t="shared" si="1"/>
        <v>7902.08</v>
      </c>
      <c r="H6" s="3">
        <f t="shared" si="1"/>
        <v>15804.16</v>
      </c>
    </row>
    <row r="7" spans="1:8" ht="18" x14ac:dyDescent="0.3">
      <c r="A7" s="24" t="s">
        <v>7</v>
      </c>
      <c r="B7" s="11">
        <v>261.63</v>
      </c>
      <c r="C7" s="21">
        <f t="shared" si="1"/>
        <v>523.26</v>
      </c>
      <c r="D7" s="18">
        <f t="shared" si="1"/>
        <v>1046.52</v>
      </c>
      <c r="E7" s="50">
        <f t="shared" si="1"/>
        <v>2093.04</v>
      </c>
      <c r="F7" s="2">
        <f t="shared" si="1"/>
        <v>4186.08</v>
      </c>
      <c r="G7" s="2">
        <f t="shared" si="1"/>
        <v>8372.16</v>
      </c>
      <c r="H7" s="3">
        <f t="shared" si="1"/>
        <v>16744.32</v>
      </c>
    </row>
    <row r="8" spans="1:8" ht="18" x14ac:dyDescent="0.3">
      <c r="A8" s="24" t="s">
        <v>8</v>
      </c>
      <c r="B8" s="11">
        <v>293.66000000000003</v>
      </c>
      <c r="C8" s="21">
        <f t="shared" si="1"/>
        <v>587.32000000000005</v>
      </c>
      <c r="D8" s="18">
        <f t="shared" si="1"/>
        <v>1174.6400000000001</v>
      </c>
      <c r="E8" s="50">
        <f t="shared" si="1"/>
        <v>2349.2800000000002</v>
      </c>
      <c r="F8" s="2">
        <f t="shared" si="1"/>
        <v>4698.5600000000004</v>
      </c>
      <c r="G8" s="2">
        <f t="shared" si="1"/>
        <v>9397.1200000000008</v>
      </c>
      <c r="H8" s="3">
        <f t="shared" si="1"/>
        <v>18794.240000000002</v>
      </c>
    </row>
    <row r="9" spans="1:8" ht="18" x14ac:dyDescent="0.3">
      <c r="A9" s="24" t="s">
        <v>9</v>
      </c>
      <c r="B9" s="11">
        <v>329.63</v>
      </c>
      <c r="C9" s="21">
        <f t="shared" si="1"/>
        <v>659.26</v>
      </c>
      <c r="D9" s="18">
        <f t="shared" si="1"/>
        <v>1318.52</v>
      </c>
      <c r="E9" s="50">
        <f t="shared" si="1"/>
        <v>2637.04</v>
      </c>
      <c r="F9" s="2">
        <f t="shared" si="1"/>
        <v>5274.08</v>
      </c>
      <c r="G9" s="2">
        <f t="shared" si="1"/>
        <v>10548.16</v>
      </c>
      <c r="H9" s="3">
        <f t="shared" si="1"/>
        <v>21096.32</v>
      </c>
    </row>
    <row r="10" spans="1:8" ht="18" x14ac:dyDescent="0.3">
      <c r="A10" s="24" t="s">
        <v>10</v>
      </c>
      <c r="B10" s="11">
        <v>349.23</v>
      </c>
      <c r="C10" s="21">
        <f t="shared" si="1"/>
        <v>698.46</v>
      </c>
      <c r="D10" s="18">
        <f t="shared" si="1"/>
        <v>1396.92</v>
      </c>
      <c r="E10" s="50">
        <f t="shared" si="1"/>
        <v>2793.84</v>
      </c>
      <c r="F10" s="2">
        <f t="shared" si="1"/>
        <v>5587.68</v>
      </c>
      <c r="G10" s="2">
        <f t="shared" si="1"/>
        <v>11175.36</v>
      </c>
      <c r="H10" s="3">
        <f t="shared" si="1"/>
        <v>22350.720000000001</v>
      </c>
    </row>
    <row r="11" spans="1:8" ht="18.600000000000001" thickBot="1" x14ac:dyDescent="0.35">
      <c r="A11" s="25" t="s">
        <v>11</v>
      </c>
      <c r="B11" s="12">
        <v>392</v>
      </c>
      <c r="C11" s="22">
        <f t="shared" si="1"/>
        <v>784</v>
      </c>
      <c r="D11" s="19">
        <f t="shared" si="1"/>
        <v>1568</v>
      </c>
      <c r="E11" s="51">
        <f t="shared" si="1"/>
        <v>3136</v>
      </c>
      <c r="F11" s="4">
        <f t="shared" si="1"/>
        <v>6272</v>
      </c>
      <c r="G11" s="4">
        <f t="shared" si="1"/>
        <v>12544</v>
      </c>
      <c r="H11" s="5">
        <f t="shared" si="1"/>
        <v>25088</v>
      </c>
    </row>
    <row r="12" spans="1:8" x14ac:dyDescent="0.3">
      <c r="B12" s="1"/>
      <c r="C12" s="1"/>
      <c r="D12" s="1"/>
      <c r="E12" s="1"/>
      <c r="F12" s="1"/>
    </row>
    <row r="15" spans="1:8" ht="15" thickBot="1" x14ac:dyDescent="0.35">
      <c r="B15" s="47"/>
      <c r="C15" s="47"/>
    </row>
    <row r="16" spans="1:8" ht="18.600000000000001" thickBot="1" x14ac:dyDescent="0.35">
      <c r="A16" s="13" t="s">
        <v>0</v>
      </c>
      <c r="B16" s="34" t="s">
        <v>33</v>
      </c>
      <c r="C16" s="35" t="s">
        <v>34</v>
      </c>
      <c r="D16" s="42" t="s">
        <v>35</v>
      </c>
      <c r="E16" s="8" t="s">
        <v>15</v>
      </c>
      <c r="F16" s="9" t="s">
        <v>23</v>
      </c>
      <c r="G16" s="39" t="s">
        <v>31</v>
      </c>
    </row>
    <row r="17" spans="1:7" ht="18" x14ac:dyDescent="0.3">
      <c r="A17" s="14" t="s">
        <v>16</v>
      </c>
      <c r="B17" s="36">
        <v>1</v>
      </c>
      <c r="C17" s="41">
        <f>(84000000/((B17+1)*D5))-1</f>
        <v>47726.272727272728</v>
      </c>
      <c r="D17" s="43">
        <f>ROUND(C17,0)</f>
        <v>47726</v>
      </c>
      <c r="E17" s="32">
        <f>(84000000/((B17+1)*D17))/2</f>
        <v>440.01173364623054</v>
      </c>
      <c r="F17" s="7">
        <f t="shared" ref="F17:F23" si="2">D5-E17</f>
        <v>439.98826635376946</v>
      </c>
      <c r="G17" s="40">
        <v>1</v>
      </c>
    </row>
    <row r="18" spans="1:7" ht="18" x14ac:dyDescent="0.3">
      <c r="A18" s="15" t="s">
        <v>17</v>
      </c>
      <c r="B18" s="37">
        <v>1</v>
      </c>
      <c r="C18" s="41">
        <f>(84000000/((B18+1)*D6))-1</f>
        <v>42519.450311816639</v>
      </c>
      <c r="D18" s="43">
        <f t="shared" ref="D18:D23" si="3">ROUND(C18,0)</f>
        <v>42519</v>
      </c>
      <c r="E18" s="32">
        <f t="shared" ref="E18:E23" si="4">(84000000/((B18+1)*D18))/2</f>
        <v>493.89684611585409</v>
      </c>
      <c r="F18" s="3">
        <f t="shared" si="2"/>
        <v>493.8631538841459</v>
      </c>
      <c r="G18" s="40">
        <v>2</v>
      </c>
    </row>
    <row r="19" spans="1:7" ht="18" x14ac:dyDescent="0.3">
      <c r="A19" s="15" t="s">
        <v>18</v>
      </c>
      <c r="B19" s="37">
        <v>1</v>
      </c>
      <c r="C19" s="41">
        <f t="shared" ref="C19:C23" si="5">(84000000/((B19+1)*D7))-1</f>
        <v>40132.01226923518</v>
      </c>
      <c r="D19" s="43">
        <f t="shared" si="3"/>
        <v>40132</v>
      </c>
      <c r="E19" s="32">
        <f t="shared" si="4"/>
        <v>523.27319844513102</v>
      </c>
      <c r="F19" s="3">
        <f t="shared" si="2"/>
        <v>523.24680155486897</v>
      </c>
      <c r="G19" s="40">
        <v>3</v>
      </c>
    </row>
    <row r="20" spans="1:7" ht="18" x14ac:dyDescent="0.3">
      <c r="A20" s="15" t="s">
        <v>19</v>
      </c>
      <c r="B20" s="37">
        <v>1</v>
      </c>
      <c r="C20" s="41">
        <f>(84000000/((B20+1)*D8))-1</f>
        <v>35754.635769256958</v>
      </c>
      <c r="D20" s="43">
        <f t="shared" si="3"/>
        <v>35755</v>
      </c>
      <c r="E20" s="32">
        <f t="shared" si="4"/>
        <v>587.33044329464406</v>
      </c>
      <c r="F20" s="3">
        <f t="shared" si="2"/>
        <v>587.30955670535604</v>
      </c>
      <c r="G20" s="40">
        <v>4</v>
      </c>
    </row>
    <row r="21" spans="1:7" ht="18" x14ac:dyDescent="0.3">
      <c r="A21" s="15" t="s">
        <v>20</v>
      </c>
      <c r="B21" s="37">
        <v>1</v>
      </c>
      <c r="C21" s="41">
        <f>(84000000/((B21+1)*D9))-1</f>
        <v>31852.896793374392</v>
      </c>
      <c r="D21" s="43">
        <f t="shared" si="3"/>
        <v>31853</v>
      </c>
      <c r="E21" s="32">
        <f t="shared" si="4"/>
        <v>659.27856088908425</v>
      </c>
      <c r="F21" s="3">
        <f t="shared" si="2"/>
        <v>659.24143911091574</v>
      </c>
      <c r="G21" s="40">
        <v>5</v>
      </c>
    </row>
    <row r="22" spans="1:7" ht="18" x14ac:dyDescent="0.3">
      <c r="A22" s="15" t="s">
        <v>21</v>
      </c>
      <c r="B22" s="37">
        <v>1</v>
      </c>
      <c r="C22" s="41">
        <f t="shared" si="5"/>
        <v>30065.145520144317</v>
      </c>
      <c r="D22" s="43">
        <f t="shared" si="3"/>
        <v>30065</v>
      </c>
      <c r="E22" s="32">
        <f t="shared" si="4"/>
        <v>698.48661233993016</v>
      </c>
      <c r="F22" s="3">
        <f t="shared" si="2"/>
        <v>698.43338766006991</v>
      </c>
      <c r="G22" s="40">
        <v>6</v>
      </c>
    </row>
    <row r="23" spans="1:7" ht="18.600000000000001" thickBot="1" x14ac:dyDescent="0.35">
      <c r="A23" s="16" t="s">
        <v>22</v>
      </c>
      <c r="B23" s="38">
        <v>1</v>
      </c>
      <c r="C23" s="41">
        <f t="shared" si="5"/>
        <v>26784.714285714286</v>
      </c>
      <c r="D23" s="43">
        <f t="shared" si="3"/>
        <v>26785</v>
      </c>
      <c r="E23" s="32">
        <f t="shared" si="4"/>
        <v>784.02090722419268</v>
      </c>
      <c r="F23" s="5">
        <f t="shared" si="2"/>
        <v>783.97909277580732</v>
      </c>
      <c r="G23" s="40">
        <v>7</v>
      </c>
    </row>
    <row r="26" spans="1:7" ht="15" thickBot="1" x14ac:dyDescent="0.35">
      <c r="B26" s="47"/>
      <c r="C26" s="47"/>
    </row>
    <row r="27" spans="1:7" ht="18.600000000000001" thickBot="1" x14ac:dyDescent="0.35">
      <c r="A27" s="13" t="s">
        <v>0</v>
      </c>
      <c r="B27" s="34" t="s">
        <v>33</v>
      </c>
      <c r="C27" s="35" t="s">
        <v>34</v>
      </c>
      <c r="D27" s="42" t="s">
        <v>35</v>
      </c>
      <c r="E27" s="8" t="s">
        <v>15</v>
      </c>
      <c r="F27" s="9" t="s">
        <v>23</v>
      </c>
    </row>
    <row r="28" spans="1:7" ht="18" x14ac:dyDescent="0.3">
      <c r="A28" s="14" t="s">
        <v>24</v>
      </c>
      <c r="B28" s="36">
        <v>1</v>
      </c>
      <c r="C28" s="41">
        <f>(84000000/((B28+1)*E5))-1</f>
        <v>23862.636363636364</v>
      </c>
      <c r="D28" s="43">
        <f>ROUND(C28,0)</f>
        <v>23863</v>
      </c>
      <c r="E28" s="33">
        <f>(84000000/((B28+1)*D28))/2</f>
        <v>880.02346729246108</v>
      </c>
      <c r="F28" s="7">
        <f t="shared" ref="F28:F34" si="6">E5-E28</f>
        <v>879.97653270753892</v>
      </c>
      <c r="G28" s="40">
        <v>8</v>
      </c>
    </row>
    <row r="29" spans="1:7" ht="18" x14ac:dyDescent="0.3">
      <c r="A29" s="15" t="s">
        <v>25</v>
      </c>
      <c r="B29" s="37">
        <v>1</v>
      </c>
      <c r="C29" s="41">
        <f t="shared" ref="C29:C34" si="7">(84000000/((B29+1)*E6))-1</f>
        <v>21259.22515590832</v>
      </c>
      <c r="D29" s="43">
        <f t="shared" ref="D29:D34" si="8">ROUND(C29,0)</f>
        <v>21259</v>
      </c>
      <c r="E29" s="33">
        <f t="shared" ref="E29:E34" si="9">(84000000/((B29+1)*D29))/2</f>
        <v>987.81692459664146</v>
      </c>
      <c r="F29" s="3">
        <f t="shared" si="6"/>
        <v>987.70307540335853</v>
      </c>
      <c r="G29" s="40">
        <v>9</v>
      </c>
    </row>
    <row r="30" spans="1:7" ht="18" x14ac:dyDescent="0.3">
      <c r="A30" s="15" t="s">
        <v>26</v>
      </c>
      <c r="B30" s="37">
        <v>1</v>
      </c>
      <c r="C30" s="41">
        <f t="shared" si="7"/>
        <v>20065.50613461759</v>
      </c>
      <c r="D30" s="43">
        <f t="shared" si="8"/>
        <v>20066</v>
      </c>
      <c r="E30" s="33">
        <f t="shared" si="9"/>
        <v>1046.546396890262</v>
      </c>
      <c r="F30" s="3">
        <f t="shared" si="6"/>
        <v>1046.4936031097379</v>
      </c>
      <c r="G30" s="40">
        <v>10</v>
      </c>
    </row>
    <row r="31" spans="1:7" ht="18" x14ac:dyDescent="0.3">
      <c r="A31" s="15" t="s">
        <v>27</v>
      </c>
      <c r="B31" s="37">
        <v>1</v>
      </c>
      <c r="C31" s="41">
        <f t="shared" si="7"/>
        <v>17876.817884628479</v>
      </c>
      <c r="D31" s="43">
        <f t="shared" si="8"/>
        <v>17877</v>
      </c>
      <c r="E31" s="33">
        <f t="shared" si="9"/>
        <v>1174.6937405604967</v>
      </c>
      <c r="F31" s="3">
        <f t="shared" si="6"/>
        <v>1174.5862594395035</v>
      </c>
      <c r="G31" s="40">
        <v>11</v>
      </c>
    </row>
    <row r="32" spans="1:7" ht="18" x14ac:dyDescent="0.3">
      <c r="A32" s="15" t="s">
        <v>28</v>
      </c>
      <c r="B32" s="37">
        <v>1</v>
      </c>
      <c r="C32" s="41">
        <f t="shared" si="7"/>
        <v>15925.948396687196</v>
      </c>
      <c r="D32" s="43">
        <f t="shared" si="8"/>
        <v>15926</v>
      </c>
      <c r="E32" s="33">
        <f t="shared" si="9"/>
        <v>1318.5985181464273</v>
      </c>
      <c r="F32" s="3">
        <f t="shared" si="6"/>
        <v>1318.4414818535727</v>
      </c>
      <c r="G32" s="40">
        <v>12</v>
      </c>
    </row>
    <row r="33" spans="1:7" ht="18" x14ac:dyDescent="0.3">
      <c r="A33" s="15" t="s">
        <v>29</v>
      </c>
      <c r="B33" s="37">
        <v>1</v>
      </c>
      <c r="C33" s="41">
        <f t="shared" si="7"/>
        <v>15032.072760072158</v>
      </c>
      <c r="D33" s="43">
        <f t="shared" si="8"/>
        <v>15032</v>
      </c>
      <c r="E33" s="33">
        <f t="shared" si="9"/>
        <v>1397.019691325173</v>
      </c>
      <c r="F33" s="3">
        <f t="shared" si="6"/>
        <v>1396.8203086748272</v>
      </c>
      <c r="G33" s="40">
        <v>13</v>
      </c>
    </row>
    <row r="34" spans="1:7" ht="18.600000000000001" thickBot="1" x14ac:dyDescent="0.35">
      <c r="A34" s="16" t="s">
        <v>30</v>
      </c>
      <c r="B34" s="38">
        <v>1</v>
      </c>
      <c r="C34" s="41">
        <f t="shared" si="7"/>
        <v>13391.857142857143</v>
      </c>
      <c r="D34" s="43">
        <f t="shared" si="8"/>
        <v>13392</v>
      </c>
      <c r="E34" s="33">
        <f t="shared" si="9"/>
        <v>1568.1003584229391</v>
      </c>
      <c r="F34" s="5">
        <f t="shared" si="6"/>
        <v>1567.8996415770609</v>
      </c>
      <c r="G34" s="40">
        <v>14</v>
      </c>
    </row>
  </sheetData>
  <mergeCells count="3">
    <mergeCell ref="B3:H3"/>
    <mergeCell ref="B15:C15"/>
    <mergeCell ref="B26:C2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2006-11-28T13:39:51Z</dcterms:created>
  <dcterms:modified xsi:type="dcterms:W3CDTF">2025-11-20T06:13:35Z</dcterms:modified>
</cp:coreProperties>
</file>